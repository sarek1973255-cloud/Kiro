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replit\"/>
    </mc:Choice>
  </mc:AlternateContent>
  <xr:revisionPtr revIDLastSave="0" documentId="13_ncr:1_{C117D607-BA83-4E71-B056-D45C256EAB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oy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3" l="1"/>
  <c r="G16" i="3"/>
  <c r="G17" i="3"/>
  <c r="G18" i="3"/>
  <c r="G19" i="3"/>
  <c r="G20" i="3"/>
  <c r="G21" i="3"/>
  <c r="G22" i="3"/>
  <c r="G23" i="3"/>
  <c r="G24" i="3"/>
  <c r="G14" i="3"/>
  <c r="K26" i="3"/>
  <c r="L14" i="3"/>
  <c r="M14" i="3" s="1"/>
  <c r="M15" i="3"/>
  <c r="M17" i="3"/>
  <c r="M18" i="3"/>
  <c r="M19" i="3"/>
  <c r="M23" i="3"/>
  <c r="M24" i="3"/>
  <c r="G26" i="3" l="1"/>
  <c r="L26" i="3"/>
  <c r="M26" i="3"/>
</calcChain>
</file>

<file path=xl/sharedStrings.xml><?xml version="1.0" encoding="utf-8"?>
<sst xmlns="http://schemas.openxmlformats.org/spreadsheetml/2006/main" count="67" uniqueCount="40">
  <si>
    <t>№</t>
  </si>
  <si>
    <t>Description of Goods</t>
  </si>
  <si>
    <t xml:space="preserve"> HC Code</t>
  </si>
  <si>
    <t>Net Weight KG</t>
  </si>
  <si>
    <t>Gross Weight KG</t>
  </si>
  <si>
    <t>Unit   Price (USD)</t>
  </si>
  <si>
    <t>Amount (USD)</t>
  </si>
  <si>
    <t>Всего</t>
  </si>
  <si>
    <t>Ед. изм /
Msr.Unit</t>
  </si>
  <si>
    <t>Кол-во /
Q’ty</t>
  </si>
  <si>
    <t>Place</t>
  </si>
  <si>
    <t>Delivery terms: CIP Tashkent</t>
  </si>
  <si>
    <r>
      <t xml:space="preserve">              </t>
    </r>
    <r>
      <rPr>
        <b/>
        <sz val="20"/>
        <color theme="1"/>
        <rFont val="Calibri"/>
        <family val="2"/>
        <charset val="204"/>
        <scheme val="minor"/>
      </rPr>
      <t xml:space="preserve">                   COMMERCIAL INVOICE  </t>
    </r>
    <r>
      <rPr>
        <b/>
        <sz val="20"/>
        <color theme="1"/>
        <rFont val="Arial"/>
        <family val="2"/>
        <charset val="204"/>
      </rPr>
      <t xml:space="preserve">     </t>
    </r>
  </si>
  <si>
    <t xml:space="preserve">                                             PACKING LIST</t>
  </si>
  <si>
    <t>Destination: Sergili</t>
  </si>
  <si>
    <r>
      <rPr>
        <b/>
        <sz val="12"/>
        <color theme="1"/>
        <rFont val="Calibri"/>
        <family val="2"/>
        <charset val="204"/>
        <scheme val="minor"/>
      </rPr>
      <t xml:space="preserve">Adress: </t>
    </r>
    <r>
      <rPr>
        <sz val="12"/>
        <color theme="1"/>
        <rFont val="Calibri"/>
        <family val="2"/>
        <charset val="204"/>
        <scheme val="minor"/>
      </rPr>
      <t>Tashkent city, Almazar district, ESKI SHAHAR MFY, SAQICHMON STREET</t>
    </r>
  </si>
  <si>
    <r>
      <rPr>
        <b/>
        <sz val="12"/>
        <color theme="1"/>
        <rFont val="Calibri"/>
        <family val="2"/>
        <charset val="204"/>
        <scheme val="minor"/>
      </rPr>
      <t>Consignee:</t>
    </r>
    <r>
      <rPr>
        <sz val="12"/>
        <color theme="1"/>
        <rFont val="Calibri"/>
        <family val="2"/>
        <charset val="204"/>
        <scheme val="minor"/>
      </rPr>
      <t xml:space="preserve"> «ASL FOOD THE BEST» LLC (310024898)</t>
    </r>
  </si>
  <si>
    <r>
      <rPr>
        <b/>
        <sz val="11"/>
        <color theme="1"/>
        <rFont val="Calibri"/>
        <family val="2"/>
        <charset val="204"/>
        <scheme val="minor"/>
      </rPr>
      <t>Sender:</t>
    </r>
    <r>
      <rPr>
        <sz val="11"/>
        <color theme="1"/>
        <rFont val="Calibri"/>
        <family val="2"/>
        <charset val="204"/>
        <scheme val="minor"/>
      </rPr>
      <t xml:space="preserve"> YIWU A&amp;T INTERNATIONAL TRADE CO., LTD</t>
    </r>
  </si>
  <si>
    <t>Adress:Room 1605, Ho King Commercial Center, 2-16 Fa Yuen Street, Kowloon, Hong Kong, China</t>
  </si>
  <si>
    <t>Invoice date : 13.05.2026</t>
  </si>
  <si>
    <t>Invoice №: ATAF1305</t>
  </si>
  <si>
    <t>Форма для выпечки</t>
  </si>
  <si>
    <t>kg/кг</t>
  </si>
  <si>
    <t>Форма для выпечки для шоколод</t>
  </si>
  <si>
    <t>Изделия для карновальных праздников, детская-корона</t>
  </si>
  <si>
    <t>Праздничные витые свечи для торта</t>
  </si>
  <si>
    <t>Силиконовая кисточка</t>
  </si>
  <si>
    <t>Силиконовая кисточка, 480 шт</t>
  </si>
  <si>
    <t>Силиконовая лопатка</t>
  </si>
  <si>
    <t>Пластиковый бутилка</t>
  </si>
  <si>
    <t>Пластиковый бутилка, 1700 шт</t>
  </si>
  <si>
    <t>Форма для выпечки из металла</t>
  </si>
  <si>
    <t>Форма для выпечки из металла, 540 шт</t>
  </si>
  <si>
    <t>Искуственные цветы</t>
  </si>
  <si>
    <t>Карновальных праздников, детская-корона</t>
  </si>
  <si>
    <t>Наполнитель бумажный для подарочной упаковки</t>
  </si>
  <si>
    <t>Одноразовые пластиковые тара для упаковка торт с крышкой</t>
  </si>
  <si>
    <t>Силиконовая лопатка, 1840 шт</t>
  </si>
  <si>
    <t>Форма для выпечки для шоколод, 480 шт</t>
  </si>
  <si>
    <t>Дорож. Расход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</si>
</sst>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20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2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0" borderId="0"/>
  </cellStyleXfs>
  <cellXfs count="37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1" fillId="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14" fillId="0" borderId="1" xfId="0" applyFont="1" applyBorder="1" applyAlignment="1">
      <alignment horizontal="center" vertical="center" wrapText="1"/>
    </xf>
    <xf numFmtId="0" fontId="5" fillId="0" borderId="0" xfId="0" applyFont="1"/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2" fontId="11" fillId="2" borderId="1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Обычный" xfId="0" builtinId="0"/>
    <cellStyle name="Обычный 4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+98977096663" TargetMode="External"/><Relationship Id="rId1" Type="http://schemas.openxmlformats.org/officeDocument/2006/relationships/hyperlink" Target="tel:+989770966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tabSelected="1" view="pageLayout" zoomScale="70" zoomScaleNormal="100" zoomScalePageLayoutView="70" workbookViewId="0">
      <selection activeCell="A14" sqref="A14:A24"/>
    </sheetView>
  </sheetViews>
  <sheetFormatPr defaultRowHeight="15"/>
  <cols>
    <col min="1" max="1" width="5" customWidth="1"/>
    <col min="2" max="2" width="37.5703125" customWidth="1"/>
    <col min="3" max="3" width="12.42578125" customWidth="1"/>
    <col min="6" max="6" width="8" customWidth="1"/>
    <col min="7" max="7" width="10.85546875" customWidth="1"/>
    <col min="8" max="8" width="4.28515625" customWidth="1"/>
    <col min="9" max="9" width="36.42578125" customWidth="1"/>
    <col min="10" max="10" width="13.85546875" customWidth="1"/>
    <col min="12" max="12" width="12.85546875" customWidth="1"/>
    <col min="13" max="13" width="12.42578125" customWidth="1"/>
  </cols>
  <sheetData>
    <row r="1" spans="1:13" ht="26.25">
      <c r="A1" s="6" t="s">
        <v>12</v>
      </c>
      <c r="B1" s="7"/>
      <c r="C1" s="7"/>
      <c r="D1" s="8"/>
      <c r="E1" s="8"/>
      <c r="F1" s="8"/>
      <c r="H1" s="1" t="s">
        <v>13</v>
      </c>
      <c r="I1" s="2"/>
      <c r="J1" s="2"/>
      <c r="K1" s="3"/>
      <c r="L1" s="2"/>
    </row>
    <row r="2" spans="1:13">
      <c r="A2" s="19" t="s">
        <v>19</v>
      </c>
      <c r="B2" s="4"/>
      <c r="D2" s="3"/>
      <c r="E2" s="4"/>
      <c r="F2" s="4"/>
      <c r="H2" s="19" t="s">
        <v>19</v>
      </c>
      <c r="I2" s="4"/>
      <c r="K2" s="4"/>
    </row>
    <row r="3" spans="1:13">
      <c r="A3" s="19" t="s">
        <v>20</v>
      </c>
      <c r="B3" s="4"/>
      <c r="D3" s="3"/>
      <c r="E3" s="4"/>
      <c r="F3" s="4"/>
      <c r="H3" s="19" t="s">
        <v>20</v>
      </c>
      <c r="I3" s="4"/>
      <c r="K3" s="4"/>
    </row>
    <row r="4" spans="1:13">
      <c r="A4" s="19"/>
      <c r="B4" s="4"/>
      <c r="D4" s="3"/>
      <c r="E4" s="4"/>
      <c r="F4" s="4"/>
      <c r="H4" s="19"/>
      <c r="I4" s="4"/>
      <c r="K4" s="4"/>
    </row>
    <row r="5" spans="1:13">
      <c r="A5" s="22" t="s">
        <v>17</v>
      </c>
      <c r="B5" s="22"/>
      <c r="C5" s="22"/>
      <c r="D5" s="22"/>
      <c r="E5" s="22"/>
      <c r="F5" s="22"/>
      <c r="H5" s="22" t="s">
        <v>17</v>
      </c>
      <c r="I5" s="22"/>
      <c r="J5" s="4"/>
      <c r="K5" s="4"/>
    </row>
    <row r="6" spans="1:13">
      <c r="A6" s="19" t="s">
        <v>18</v>
      </c>
      <c r="B6" s="22"/>
      <c r="C6" s="22"/>
      <c r="D6" s="22"/>
      <c r="E6" s="22"/>
      <c r="F6" s="22"/>
      <c r="H6" s="19" t="s">
        <v>18</v>
      </c>
      <c r="I6" s="22"/>
      <c r="J6" s="4"/>
      <c r="K6" s="4"/>
    </row>
    <row r="7" spans="1:13">
      <c r="A7" s="17"/>
      <c r="B7" s="4"/>
      <c r="C7" s="4"/>
      <c r="D7" s="4"/>
      <c r="E7" s="4"/>
      <c r="F7" s="4"/>
      <c r="H7" s="17"/>
      <c r="I7" s="4"/>
      <c r="J7" s="4"/>
      <c r="K7" s="4"/>
    </row>
    <row r="8" spans="1:13" ht="15.75">
      <c r="A8" s="10" t="s">
        <v>16</v>
      </c>
      <c r="B8" s="10"/>
      <c r="C8" s="10"/>
      <c r="D8" s="4"/>
      <c r="E8" s="4"/>
      <c r="F8" s="4"/>
      <c r="H8" s="10" t="s">
        <v>16</v>
      </c>
      <c r="I8" s="10"/>
      <c r="J8" s="10"/>
      <c r="K8" s="4"/>
    </row>
    <row r="9" spans="1:13" ht="15.75">
      <c r="A9" s="10" t="s">
        <v>15</v>
      </c>
      <c r="B9" s="10"/>
      <c r="C9" s="10"/>
      <c r="D9" s="4"/>
      <c r="E9" s="4"/>
      <c r="F9" s="4"/>
      <c r="H9" s="10" t="s">
        <v>15</v>
      </c>
      <c r="I9" s="10"/>
      <c r="J9" s="10"/>
      <c r="K9" s="4"/>
    </row>
    <row r="10" spans="1:13" ht="15.75">
      <c r="A10" s="10" t="s">
        <v>14</v>
      </c>
      <c r="B10" s="10"/>
      <c r="C10" s="10"/>
      <c r="D10" s="4"/>
      <c r="E10" s="4"/>
      <c r="F10" s="4"/>
      <c r="H10" s="10" t="s">
        <v>14</v>
      </c>
      <c r="I10" s="10"/>
      <c r="J10" s="10"/>
      <c r="K10" s="4"/>
    </row>
    <row r="11" spans="1:13" ht="15.75">
      <c r="A11" s="10" t="s">
        <v>11</v>
      </c>
      <c r="B11" s="10"/>
      <c r="C11" s="10"/>
      <c r="D11" s="4"/>
      <c r="E11" s="4"/>
      <c r="F11" s="4"/>
      <c r="H11" s="10" t="s">
        <v>11</v>
      </c>
      <c r="I11" s="10"/>
      <c r="J11" s="10"/>
      <c r="K11" s="4"/>
    </row>
    <row r="12" spans="1:13">
      <c r="A12" s="4"/>
      <c r="B12" s="4"/>
      <c r="C12" s="4"/>
      <c r="D12" s="4"/>
      <c r="E12" s="4"/>
      <c r="F12" s="4"/>
      <c r="H12" s="4"/>
      <c r="I12" s="4"/>
      <c r="J12" s="4"/>
      <c r="K12" s="4"/>
      <c r="L12" s="4"/>
    </row>
    <row r="13" spans="1:13" ht="38.25">
      <c r="A13" s="5" t="s">
        <v>0</v>
      </c>
      <c r="B13" s="5" t="s">
        <v>1</v>
      </c>
      <c r="C13" s="11" t="s">
        <v>2</v>
      </c>
      <c r="D13" s="9" t="s">
        <v>8</v>
      </c>
      <c r="E13" s="9" t="s">
        <v>9</v>
      </c>
      <c r="F13" s="9" t="s">
        <v>5</v>
      </c>
      <c r="G13" s="5" t="s">
        <v>6</v>
      </c>
      <c r="H13" s="5" t="s">
        <v>0</v>
      </c>
      <c r="I13" s="5" t="s">
        <v>1</v>
      </c>
      <c r="J13" s="5" t="s">
        <v>2</v>
      </c>
      <c r="K13" s="9" t="s">
        <v>10</v>
      </c>
      <c r="L13" s="5" t="s">
        <v>4</v>
      </c>
      <c r="M13" s="5" t="s">
        <v>3</v>
      </c>
    </row>
    <row r="14" spans="1:13">
      <c r="A14" s="5">
        <v>1</v>
      </c>
      <c r="B14" s="28" t="s">
        <v>28</v>
      </c>
      <c r="C14" s="24">
        <v>3924100000</v>
      </c>
      <c r="D14" s="23" t="s">
        <v>22</v>
      </c>
      <c r="E14" s="25">
        <v>162</v>
      </c>
      <c r="F14" s="31">
        <v>0.52</v>
      </c>
      <c r="G14" s="25">
        <f>E14*F14</f>
        <v>84.240000000000009</v>
      </c>
      <c r="H14" s="5">
        <v>1</v>
      </c>
      <c r="I14" s="28" t="s">
        <v>37</v>
      </c>
      <c r="J14" s="24">
        <v>3924100000</v>
      </c>
      <c r="K14" s="25">
        <v>5</v>
      </c>
      <c r="L14" s="25">
        <f>215-48</f>
        <v>167</v>
      </c>
      <c r="M14" s="25">
        <f>L14-K14</f>
        <v>162</v>
      </c>
    </row>
    <row r="15" spans="1:13">
      <c r="A15" s="5">
        <v>2</v>
      </c>
      <c r="B15" s="28" t="s">
        <v>26</v>
      </c>
      <c r="C15" s="24">
        <v>3924100000</v>
      </c>
      <c r="D15" s="23" t="s">
        <v>22</v>
      </c>
      <c r="E15" s="25">
        <v>43</v>
      </c>
      <c r="F15" s="31">
        <v>0.48</v>
      </c>
      <c r="G15" s="25">
        <f t="shared" ref="G15:G24" si="0">E15*F15</f>
        <v>20.64</v>
      </c>
      <c r="H15" s="5">
        <v>2</v>
      </c>
      <c r="I15" s="28" t="s">
        <v>27</v>
      </c>
      <c r="J15" s="24">
        <v>3924100000</v>
      </c>
      <c r="K15" s="25">
        <v>5</v>
      </c>
      <c r="L15" s="25">
        <v>48</v>
      </c>
      <c r="M15" s="25">
        <f t="shared" ref="M15:M24" si="1">L15-K15</f>
        <v>43</v>
      </c>
    </row>
    <row r="16" spans="1:13" ht="30">
      <c r="A16" s="5">
        <v>3</v>
      </c>
      <c r="B16" s="28" t="s">
        <v>36</v>
      </c>
      <c r="C16" s="24">
        <v>3923100009</v>
      </c>
      <c r="D16" s="23" t="s">
        <v>22</v>
      </c>
      <c r="E16" s="13">
        <v>6056</v>
      </c>
      <c r="F16" s="31">
        <v>0.68</v>
      </c>
      <c r="G16" s="25">
        <f t="shared" si="0"/>
        <v>4118.08</v>
      </c>
      <c r="H16" s="5">
        <v>3</v>
      </c>
      <c r="I16" s="28" t="s">
        <v>36</v>
      </c>
      <c r="J16" s="24">
        <v>3923100009</v>
      </c>
      <c r="K16" s="13">
        <v>617</v>
      </c>
      <c r="L16" s="13">
        <v>6673</v>
      </c>
      <c r="M16" s="13">
        <v>6056</v>
      </c>
    </row>
    <row r="17" spans="1:13">
      <c r="A17" s="5">
        <v>4</v>
      </c>
      <c r="B17" s="28" t="s">
        <v>29</v>
      </c>
      <c r="C17" s="24">
        <v>3923301090</v>
      </c>
      <c r="D17" s="23" t="s">
        <v>22</v>
      </c>
      <c r="E17" s="23">
        <v>59.400000000000006</v>
      </c>
      <c r="F17" s="31">
        <v>0.64</v>
      </c>
      <c r="G17" s="25">
        <f t="shared" si="0"/>
        <v>38.016000000000005</v>
      </c>
      <c r="H17" s="5">
        <v>4</v>
      </c>
      <c r="I17" s="28" t="s">
        <v>30</v>
      </c>
      <c r="J17" s="24">
        <v>3923301090</v>
      </c>
      <c r="K17" s="23">
        <v>11</v>
      </c>
      <c r="L17" s="23">
        <v>70.400000000000006</v>
      </c>
      <c r="M17" s="25">
        <f t="shared" si="1"/>
        <v>59.400000000000006</v>
      </c>
    </row>
    <row r="18" spans="1:13" ht="30">
      <c r="A18" s="5">
        <v>5</v>
      </c>
      <c r="B18" s="28" t="s">
        <v>31</v>
      </c>
      <c r="C18" s="24">
        <v>7323930000</v>
      </c>
      <c r="D18" s="23" t="s">
        <v>22</v>
      </c>
      <c r="E18" s="23">
        <v>485</v>
      </c>
      <c r="F18" s="31">
        <v>0.51</v>
      </c>
      <c r="G18" s="25">
        <f t="shared" si="0"/>
        <v>247.35</v>
      </c>
      <c r="H18" s="5">
        <v>5</v>
      </c>
      <c r="I18" s="28" t="s">
        <v>32</v>
      </c>
      <c r="J18" s="24">
        <v>7323930000</v>
      </c>
      <c r="K18" s="23">
        <v>25</v>
      </c>
      <c r="L18" s="23">
        <v>510</v>
      </c>
      <c r="M18" s="25">
        <f t="shared" si="1"/>
        <v>485</v>
      </c>
    </row>
    <row r="19" spans="1:13" ht="30">
      <c r="A19" s="5">
        <v>6</v>
      </c>
      <c r="B19" s="28" t="s">
        <v>23</v>
      </c>
      <c r="C19" s="24">
        <v>3924100000</v>
      </c>
      <c r="D19" s="23" t="s">
        <v>22</v>
      </c>
      <c r="E19" s="23">
        <v>52.6</v>
      </c>
      <c r="F19" s="31">
        <v>1.01</v>
      </c>
      <c r="G19" s="25">
        <f t="shared" si="0"/>
        <v>53.126000000000005</v>
      </c>
      <c r="H19" s="5">
        <v>6</v>
      </c>
      <c r="I19" s="28" t="s">
        <v>38</v>
      </c>
      <c r="J19" s="24">
        <v>3924100000</v>
      </c>
      <c r="K19" s="23">
        <v>4</v>
      </c>
      <c r="L19" s="23">
        <v>56.6</v>
      </c>
      <c r="M19" s="25">
        <f t="shared" si="1"/>
        <v>52.6</v>
      </c>
    </row>
    <row r="20" spans="1:13">
      <c r="A20" s="5">
        <v>7</v>
      </c>
      <c r="B20" s="28" t="s">
        <v>21</v>
      </c>
      <c r="C20" s="24">
        <v>3924100000</v>
      </c>
      <c r="D20" s="23" t="s">
        <v>22</v>
      </c>
      <c r="E20" s="25">
        <v>522</v>
      </c>
      <c r="F20" s="31">
        <v>0.5</v>
      </c>
      <c r="G20" s="25">
        <f t="shared" si="0"/>
        <v>261</v>
      </c>
      <c r="H20" s="5">
        <v>7</v>
      </c>
      <c r="I20" s="28" t="s">
        <v>21</v>
      </c>
      <c r="J20" s="24">
        <v>3924100000</v>
      </c>
      <c r="K20" s="23">
        <v>33</v>
      </c>
      <c r="L20" s="23">
        <v>555</v>
      </c>
      <c r="M20" s="25">
        <v>522</v>
      </c>
    </row>
    <row r="21" spans="1:13">
      <c r="A21" s="5">
        <v>8</v>
      </c>
      <c r="B21" s="28" t="s">
        <v>33</v>
      </c>
      <c r="C21" s="24">
        <v>6702900000</v>
      </c>
      <c r="D21" s="23" t="s">
        <v>22</v>
      </c>
      <c r="E21" s="23">
        <v>535</v>
      </c>
      <c r="F21" s="31">
        <v>0.64</v>
      </c>
      <c r="G21" s="25">
        <f t="shared" si="0"/>
        <v>342.40000000000003</v>
      </c>
      <c r="H21" s="5">
        <v>8</v>
      </c>
      <c r="I21" s="28" t="s">
        <v>33</v>
      </c>
      <c r="J21" s="24">
        <v>6702900000</v>
      </c>
      <c r="K21" s="23">
        <v>12</v>
      </c>
      <c r="L21" s="23">
        <v>547</v>
      </c>
      <c r="M21" s="23">
        <v>535</v>
      </c>
    </row>
    <row r="22" spans="1:13" ht="30">
      <c r="A22" s="5">
        <v>9</v>
      </c>
      <c r="B22" s="28" t="s">
        <v>24</v>
      </c>
      <c r="C22" s="24">
        <v>9505900000</v>
      </c>
      <c r="D22" s="23" t="s">
        <v>22</v>
      </c>
      <c r="E22" s="23">
        <v>440</v>
      </c>
      <c r="F22" s="31">
        <v>0.59</v>
      </c>
      <c r="G22" s="25">
        <f t="shared" si="0"/>
        <v>259.59999999999997</v>
      </c>
      <c r="H22" s="5">
        <v>9</v>
      </c>
      <c r="I22" s="28" t="s">
        <v>34</v>
      </c>
      <c r="J22" s="24">
        <v>9505900000</v>
      </c>
      <c r="K22" s="21">
        <v>36</v>
      </c>
      <c r="L22" s="21">
        <v>476</v>
      </c>
      <c r="M22" s="21">
        <v>440</v>
      </c>
    </row>
    <row r="23" spans="1:13">
      <c r="A23" s="5">
        <v>10</v>
      </c>
      <c r="B23" s="28" t="s">
        <v>25</v>
      </c>
      <c r="C23" s="24">
        <v>3406000000</v>
      </c>
      <c r="D23" s="23" t="s">
        <v>22</v>
      </c>
      <c r="E23" s="25">
        <v>1156</v>
      </c>
      <c r="F23" s="31">
        <v>0.97</v>
      </c>
      <c r="G23" s="25">
        <f t="shared" si="0"/>
        <v>1121.32</v>
      </c>
      <c r="H23" s="5">
        <v>10</v>
      </c>
      <c r="I23" s="28" t="s">
        <v>25</v>
      </c>
      <c r="J23" s="24">
        <v>3406000000</v>
      </c>
      <c r="K23" s="27">
        <v>150</v>
      </c>
      <c r="L23" s="27">
        <v>1306</v>
      </c>
      <c r="M23" s="25">
        <f t="shared" si="1"/>
        <v>1156</v>
      </c>
    </row>
    <row r="24" spans="1:13" ht="30">
      <c r="A24" s="5">
        <v>11</v>
      </c>
      <c r="B24" s="28" t="s">
        <v>35</v>
      </c>
      <c r="C24" s="24">
        <v>4823908597</v>
      </c>
      <c r="D24" s="23" t="s">
        <v>22</v>
      </c>
      <c r="E24" s="23">
        <v>260</v>
      </c>
      <c r="F24" s="31">
        <v>0.6</v>
      </c>
      <c r="G24" s="25">
        <f t="shared" si="0"/>
        <v>156</v>
      </c>
      <c r="H24" s="5">
        <v>11</v>
      </c>
      <c r="I24" s="28" t="s">
        <v>35</v>
      </c>
      <c r="J24" s="24">
        <v>4823908597</v>
      </c>
      <c r="K24" s="13">
        <v>10</v>
      </c>
      <c r="L24" s="23">
        <v>270</v>
      </c>
      <c r="M24" s="25">
        <f t="shared" si="1"/>
        <v>260</v>
      </c>
    </row>
    <row r="25" spans="1:13">
      <c r="A25" s="11"/>
      <c r="B25" s="29"/>
      <c r="C25" s="30"/>
      <c r="D25" s="34" t="s">
        <v>39</v>
      </c>
      <c r="E25" s="35"/>
      <c r="F25" s="36"/>
      <c r="G25" s="25">
        <v>5000</v>
      </c>
      <c r="H25" s="11"/>
      <c r="I25" s="29"/>
      <c r="J25" s="30"/>
      <c r="K25" s="13"/>
      <c r="L25" s="23"/>
      <c r="M25" s="25"/>
    </row>
    <row r="26" spans="1:13">
      <c r="A26" s="32" t="s">
        <v>7</v>
      </c>
      <c r="B26" s="33"/>
      <c r="C26" s="12"/>
      <c r="D26" s="13"/>
      <c r="E26" s="18"/>
      <c r="F26" s="14"/>
      <c r="G26" s="15">
        <f>SUM(G14:G25)</f>
        <v>11701.772000000001</v>
      </c>
      <c r="H26" s="32" t="s">
        <v>7</v>
      </c>
      <c r="I26" s="33"/>
      <c r="J26" s="26"/>
      <c r="K26" s="20">
        <f>SUM(K14:K24)</f>
        <v>908</v>
      </c>
      <c r="L26" s="20">
        <f>SUM(L14:L24)</f>
        <v>10679</v>
      </c>
      <c r="M26" s="20">
        <f>SUM(M14:M24)</f>
        <v>9771</v>
      </c>
    </row>
    <row r="27" spans="1:13">
      <c r="B27" s="16"/>
    </row>
  </sheetData>
  <mergeCells count="3">
    <mergeCell ref="A26:B26"/>
    <mergeCell ref="H26:I26"/>
    <mergeCell ref="D25:F25"/>
  </mergeCells>
  <hyperlinks>
    <hyperlink ref="A9" r:id="rId1" display="Adress: г. Ташкент, Яшнабадский р-он, ул. Висол 1,  дом 12" xr:uid="{00000000-0004-0000-0100-000001000000}"/>
    <hyperlink ref="H9" r:id="rId2" display="Adress: г. Ташкент, Яшнабадский р-он, ул. Висол 1,  дом 12" xr:uid="{EF365197-0816-4501-81AC-AE40FABB3802}"/>
  </hyperlinks>
  <pageMargins left="0.7" right="0.7" top="0.75" bottom="0.75" header="0.3" footer="0.3"/>
  <pageSetup paperSize="9" scale="95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Invoys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Kamron Muradov</cp:lastModifiedBy>
  <cp:lastPrinted>2025-10-26T06:54:47Z</cp:lastPrinted>
  <dcterms:created xsi:type="dcterms:W3CDTF">2015-06-05T18:17:00Z</dcterms:created>
  <dcterms:modified xsi:type="dcterms:W3CDTF">2026-05-29T02:41:36Z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